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s\dev\mission_suivi_banque\"/>
    </mc:Choice>
  </mc:AlternateContent>
  <xr:revisionPtr revIDLastSave="0" documentId="13_ncr:1_{D56645AA-0802-4146-8D0D-EEB164B28CC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I" sheetId="1" r:id="rId1"/>
    <sheet name="F_QS" sheetId="2" r:id="rId2"/>
    <sheet name="F_GAB" sheetId="3" r:id="rId3"/>
    <sheet name="BAREME" sheetId="4" r:id="rId4"/>
    <sheet name="Moy_FI_" sheetId="8" r:id="rId5"/>
    <sheet name="Moy_QS_" sheetId="9" r:id="rId6"/>
    <sheet name="Moy_GAB_" sheetId="7" r:id="rId7"/>
  </sheets>
  <externalReferences>
    <externalReference r:id="rId8"/>
    <externalReference r:id="rId9"/>
    <externalReference r:id="rId10"/>
  </externalReferences>
  <definedNames>
    <definedName name="periodes" localSheetId="4">[2]db!$J$3:$J$6</definedName>
    <definedName name="periodes" localSheetId="5">[3]db!$J$3:$J$6</definedName>
    <definedName name="periodes">[1]db!$J$3:$J$6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9" l="1"/>
  <c r="A2" i="8"/>
  <c r="A2" i="7"/>
</calcChain>
</file>

<file path=xl/sharedStrings.xml><?xml version="1.0" encoding="utf-8"?>
<sst xmlns="http://schemas.openxmlformats.org/spreadsheetml/2006/main" count="260" uniqueCount="124">
  <si>
    <t>N°</t>
  </si>
  <si>
    <t>Composante évaluée</t>
  </si>
  <si>
    <t>Critères / Indicateurs</t>
  </si>
  <si>
    <t>Mode de vérification</t>
  </si>
  <si>
    <t>Score / 5</t>
  </si>
  <si>
    <t>Observations / Recommandations</t>
  </si>
  <si>
    <t>Gouvernance interne</t>
  </si>
  <si>
    <t>Organes de direction en place, fréquence des réunions, supervision des risques</t>
  </si>
  <si>
    <t>PV de réunions, entretiens avec responsables</t>
  </si>
  <si>
    <t>Organisation fonctionnelle</t>
  </si>
  <si>
    <t>Clarté des responsabilités, existence d’un organigramme actualisé</t>
  </si>
  <si>
    <t>Organigramme, descriptions de poste</t>
  </si>
  <si>
    <t>Conformité réglementaire</t>
  </si>
  <si>
    <t>Dispositif de veille réglementaire, suivi des textes BCEAO</t>
  </si>
  <si>
    <t>Documentation, entretiens, tests de conformité</t>
  </si>
  <si>
    <t>Gestion des risques</t>
  </si>
  <si>
    <t>Cartographie des risques, procédures de surveillance</t>
  </si>
  <si>
    <t>Documents internes, entretiens avec la direction</t>
  </si>
  <si>
    <t>Contrôle interne</t>
  </si>
  <si>
    <t>Existence et efficacité du contrôle de 1er, 2e et 3e niveau</t>
  </si>
  <si>
    <t>Rapports d’audit, rapports internes</t>
  </si>
  <si>
    <t>Système d’information</t>
  </si>
  <si>
    <t>Sécurité informatique, plans de secours, confidentialité</t>
  </si>
  <si>
    <t>Politique IT, entretiens DSI</t>
  </si>
  <si>
    <t>Gestion des ressources humaines</t>
  </si>
  <si>
    <t>Politique de recrutement et de formation, rotation du personnel</t>
  </si>
  <si>
    <t>Dossiers RH, plans de formation</t>
  </si>
  <si>
    <t>Dispositif de lutte contre le blanchiment (LCB/FT)</t>
  </si>
  <si>
    <t>Formation des agents, traçabilité des opérations suspectes, existence de procédures internes</t>
  </si>
  <si>
    <t>Revue documentaire, entretiens</t>
  </si>
  <si>
    <t>Archivage et gestion documentaire</t>
  </si>
  <si>
    <t>Existence de procédures d’archivage, sécurité des documents</t>
  </si>
  <si>
    <t>Inspection physique, procédure écrite</t>
  </si>
  <si>
    <t>Relations inter-agences / reporting interne</t>
  </si>
  <si>
    <t>Fluidité de la communication, transmission des données, système de consolidation</t>
  </si>
  <si>
    <t>Revue des rapports, entretiens</t>
  </si>
  <si>
    <t>Service à la clientèle (interne et externe)</t>
  </si>
  <si>
    <t>Traitement des réclamations internes/clients, respect des délais, écoute</t>
  </si>
  <si>
    <t>Registre des plaintes, revue de procédures</t>
  </si>
  <si>
    <t>Suivi des recommandations antérieures</t>
  </si>
  <si>
    <t>Niveau de mise en œuvre des recommandations de la BCEAO ou missions précédentes</t>
  </si>
  <si>
    <t>Tableau de suivi, preuves d’exécution</t>
  </si>
  <si>
    <t>Délais de traitement des opérations courantes</t>
  </si>
  <si>
    <t>Temps moyen de traitement des virements, retraits, dépôts</t>
  </si>
  <si>
    <t>Observation, documentation, entretiens</t>
  </si>
  <si>
    <t>Disponibilité des services digitaux</t>
  </si>
  <si>
    <t>Taux de disponibilité de l’application mobile, site web</t>
  </si>
  <si>
    <t>Tests utilisateurs, documentation</t>
  </si>
  <si>
    <t>Fonctionnement des guichets automatiques</t>
  </si>
  <si>
    <t>Taux de pannes, disponibilité 24h/24, affichage des frais</t>
  </si>
  <si>
    <t>Inspection sur site, revue de journal de maintenance</t>
  </si>
  <si>
    <t>Accessibilité des agences et services</t>
  </si>
  <si>
    <t>Couverture géographique, signalétique, files d’attente</t>
  </si>
  <si>
    <t>Visite d’agence, données géographiques</t>
  </si>
  <si>
    <t>Affichage des conditions tarifaires</t>
  </si>
  <si>
    <t>Tarifs affichés, lisibles et à jour</t>
  </si>
  <si>
    <t>Inspection sur site</t>
  </si>
  <si>
    <t>Clarté des informations données aux clients</t>
  </si>
  <si>
    <t>Contrats, brochures explicatives, termes compréhensibles</t>
  </si>
  <si>
    <t>Revue documentaire, entretiens avec clients</t>
  </si>
  <si>
    <t>Traitement des réclamations</t>
  </si>
  <si>
    <t>Existence d’un dispositif formel, délais de traitement, taux de satisfaction client</t>
  </si>
  <si>
    <t>Revue de la procédure, registre des plaintes</t>
  </si>
  <si>
    <t>Pratiques commerciales loyales</t>
  </si>
  <si>
    <t>Absence de ventes forcées, communication honnête</t>
  </si>
  <si>
    <t>Enquêtes clients, revue de contrats</t>
  </si>
  <si>
    <t>Protection des données personnelles</t>
  </si>
  <si>
    <t>Existence de politiques de confidentialité, respect du consentement</t>
  </si>
  <si>
    <t>Documentation, tests de pratiques internes</t>
  </si>
  <si>
    <t>Inclusion financière</t>
  </si>
  <si>
    <t>Produits adaptés aux clients à faibles revenus, services en langue locale</t>
  </si>
  <si>
    <t>Revue des offres, entretien avec agents</t>
  </si>
  <si>
    <t>Éducation financière</t>
  </si>
  <si>
    <t>Organisation de sessions, supports pédagogiques disponibles</t>
  </si>
  <si>
    <t>Documentation, plan de communication</t>
  </si>
  <si>
    <t>Innovation et accompagnement digital</t>
  </si>
  <si>
    <t>Support client pour les outils numériques, simplicité d’usage, assistance disponible</t>
  </si>
  <si>
    <t>Tests, entretiens clients</t>
  </si>
  <si>
    <t>Fonctionnalité de base du GAB</t>
  </si>
  <si>
    <t>Retrait d’espèces, consultation de solde, impression de tickets</t>
  </si>
  <si>
    <t>Test sur place</t>
  </si>
  <si>
    <t>Disponibilité du GAB (hors panne)</t>
  </si>
  <si>
    <t>Fréquence des pannes sur 30 derniers jours</t>
  </si>
  <si>
    <t>Journal de fonctionnement, logs techniques</t>
  </si>
  <si>
    <t>Approvisionnement en billets</t>
  </si>
  <si>
    <t>GAB régulièrement approvisionné, diversité des coupures</t>
  </si>
  <si>
    <t>Observation, données de chargement</t>
  </si>
  <si>
    <t>Accessibilité physique</t>
  </si>
  <si>
    <t>Emplacement, accès personnes à mobilité réduite, absence d’obstacles</t>
  </si>
  <si>
    <t>Visite sur site</t>
  </si>
  <si>
    <t>Sécurité de l’environnement</t>
  </si>
  <si>
    <t>Éclairage, vidéosurveillance, présence d’agents ou dispositifs de sécurité</t>
  </si>
  <si>
    <t>Observation directe</t>
  </si>
  <si>
    <t>Propreté et entretien de la machine</t>
  </si>
  <si>
    <t>Absence de poussière, interface propre, état général de l’équipement</t>
  </si>
  <si>
    <t>Observation sur site</t>
  </si>
  <si>
    <t>Lisibilité et ergonomie de l’interface</t>
  </si>
  <si>
    <t>Langue française et anglaise disponibles, clarté des instructions</t>
  </si>
  <si>
    <t>Test utilisateur</t>
  </si>
  <si>
    <t>Délai de traitement d’une opération</t>
  </si>
  <si>
    <t>Temps d’un retrait standard</t>
  </si>
  <si>
    <t>Chronométrage en situation réelle</t>
  </si>
  <si>
    <t>Affichage des informations tarifaires</t>
  </si>
  <si>
    <t>Frais de retrait clairement indiqués avant validation</t>
  </si>
  <si>
    <t>Vérification à l’écran</t>
  </si>
  <si>
    <t>Gestion des incidents techniques (cartes avalées, etc.)</t>
  </si>
  <si>
    <t>Procédure claire, affichage des numéros utiles, délai de résolution moyen</t>
  </si>
  <si>
    <t>Documentation + test d’appel hotline</t>
  </si>
  <si>
    <t>Fréquence de la maintenance préventive</t>
  </si>
  <si>
    <t>Planning de maintenance régulier</t>
  </si>
  <si>
    <t>Registre d’entretien</t>
  </si>
  <si>
    <t>Disponibilité d’un point de contact client à proximité</t>
  </si>
  <si>
    <t>Guichet ou agent pour assistance rapide</t>
  </si>
  <si>
    <t>Visite d’agence</t>
  </si>
  <si>
    <t>Barème de notation par critère</t>
  </si>
  <si>
    <t>Score</t>
  </si>
  <si>
    <t>Niveau de performance</t>
  </si>
  <si>
    <t>Conforme et performant</t>
  </si>
  <si>
    <t>Bon fonctionnement, quelques améliorations possibles</t>
  </si>
  <si>
    <t>Moyennement satisfaisant, mesures à renforcer</t>
  </si>
  <si>
    <t>Nombreuses failles à corriger</t>
  </si>
  <si>
    <t>Non-conformité / Dispositif inexistant</t>
  </si>
  <si>
    <t>Moyenne / 5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</si>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</sst>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Bookman Old Style"/>
    </font>
    <font>
      <sz val="12"/>
      <color rgb="FF000000"/>
      <name val="Roboto"/>
    </font>
    <font>
      <b/>
      <sz val="12"/>
      <color theme="0"/>
      <name val="&quot;Bookman Old Style&quot;"/>
    </font>
    <font>
      <sz val="12"/>
      <color rgb="FF000000"/>
      <name val="&quot;Bookman Old Style&quot;"/>
    </font>
    <font>
      <b/>
      <sz val="12"/>
      <color theme="1"/>
      <name val="Arial"/>
    </font>
    <font>
      <b/>
      <sz val="12"/>
      <color rgb="FF98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80000"/>
        <bgColor rgb="FF98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2" fontId="5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2">
    <tableStyle name="FI-style" pivot="0" count="4" xr9:uid="{00000000-0011-0000-FFFF-FFFF00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F_QS-style" pivot="0" count="4" xr9:uid="{00000000-0011-0000-FFFF-FFFF01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F_GAB-style" pivot="0" count="4" xr9:uid="{00000000-0011-0000-FFFF-FFFF02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BAREME-style" pivot="0" count="2" xr9:uid="{00000000-0011-0000-FFFF-FFFF03000000}">
      <tableStyleElement type="firstRowStripe" dxfId="21"/>
      <tableStyleElement type="secondRowStripe" dxfId="20"/>
    </tableStyle>
    <tableStyle name="Moy_FI_Pkou_NSIA-style" pivot="0" count="3" xr9:uid="{D912B4D1-9A6A-491A-9015-F85A2B2A5C6F}">
      <tableStyleElement type="headerRow" dxfId="9"/>
      <tableStyleElement type="firstRowStripe" dxfId="8"/>
      <tableStyleElement type="secondRowStripe" dxfId="7"/>
    </tableStyle>
    <tableStyle name="Moy_FI_Pkou_NSIA-style 2" pivot="0" count="2" xr9:uid="{D9824EF6-E89C-429E-9174-95AB53B1D41A}">
      <tableStyleElement type="firstRowStripe" dxfId="6"/>
      <tableStyleElement type="secondRowStripe" dxfId="5"/>
    </tableStyle>
    <tableStyle name="Moy_GAB_Pkou_BOA-style" pivot="0" count="3" xr9:uid="{6DC33671-2265-4EC0-B805-E20CB8FB8301}">
      <tableStyleElement type="headerRow" dxfId="14"/>
      <tableStyleElement type="firstRowStripe" dxfId="13"/>
      <tableStyleElement type="secondRowStripe" dxfId="12"/>
    </tableStyle>
    <tableStyle name="Moy_GAB_Pkou_BOA-style 2" pivot="0" count="2" xr9:uid="{C89E94F3-DA11-4F9F-AB21-DD0F107B8B43}">
      <tableStyleElement type="firstRowStripe" dxfId="11"/>
      <tableStyleElement type="secondRowStripe" dxfId="10"/>
    </tableStyle>
    <tableStyle name="Moy_QS_Pkou_BOA-style" pivot="0" count="3" xr9:uid="{3378448B-C092-4E21-A29D-79302F80989D}">
      <tableStyleElement type="headerRow" dxfId="4"/>
      <tableStyleElement type="firstRowStripe" dxfId="3"/>
      <tableStyleElement type="secondRowStripe" dxfId="2"/>
    </tableStyle>
    <tableStyle name="Moy_QS_Pkou_BOA-style 2" pivot="0" count="2" xr9:uid="{AB3CED70-47C2-43F4-828E-BB49F6C16710}">
      <tableStyleElement type="firstRowStripe" dxfId="1"/>
      <tableStyleElement type="secondRowStripe" dxfId="0"/>
    </tableStyle>
    <tableStyle name="MOYENNE-style" pivot="0" count="3" xr9:uid="{00000000-0011-0000-FFFF-FFFF04000000}">
      <tableStyleElement type="headerRow" dxfId="19"/>
      <tableStyleElement type="firstRowStripe" dxfId="18"/>
      <tableStyleElement type="secondRowStripe" dxfId="17"/>
    </tableStyle>
    <tableStyle name="MOYENNE-style 2" pivot="0" count="2" xr9:uid="{00000000-0011-0000-FFFF-FFFF05000000}"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fdg\Downloads\DSBEF%20MISSION%20DU%20SUIVI%20DES%20BANQUES%202025%20GAB%20DAB%20(PKOU)%20(1).xlsx" TargetMode="External"/><Relationship Id="rId1" Type="http://schemas.openxmlformats.org/officeDocument/2006/relationships/externalLinkPath" Target="/Users/mefdg/Downloads/DSBEF%20MISSION%20DU%20SUIVI%20DES%20BANQUES%202025%20GAB%20DAB%20(PKOU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fdg\Downloads\DSBEF%20MISSION%20DU%20SUIVI%20DES%20BANQUES%202025%20FI%20(PKOU)%20(1).xlsx" TargetMode="External"/><Relationship Id="rId1" Type="http://schemas.openxmlformats.org/officeDocument/2006/relationships/externalLinkPath" Target="/Users/mefdg/Downloads/DSBEF%20MISSION%20DU%20SUIVI%20DES%20BANQUES%202025%20FI%20(PKOU)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fdg\Downloads\DSBEF%20MISSION%20DU%20SUIVI%20DES%20BANQUES%202025%20QUALITE%20SERVICES%20(PKOU)%20(1).xlsx" TargetMode="External"/><Relationship Id="rId1" Type="http://schemas.openxmlformats.org/officeDocument/2006/relationships/externalLinkPath" Target="/Users/mefdg/Downloads/DSBEF%20MISSION%20DU%20SUIVI%20DES%20BANQUES%202025%20QUALITE%20SERVICES%20(PKOU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Accueil"/>
      <sheetName val="Moy_GAB_Lok_BOA"/>
      <sheetName val="Moy_GAB_Pkou_"/>
      <sheetName val="F_GAB"/>
      <sheetName val="Moy_GAB_Lok_OraBank"/>
      <sheetName val="Moy_GAB_Lok_EcoBank"/>
      <sheetName val="Moy_GAB_Come_BOA"/>
      <sheetName val="Moy_GAB_Come_UBA"/>
      <sheetName val="Moy_GAB_Hilac_NSIA"/>
      <sheetName val="F_GAB_1"/>
      <sheetName val="F_GAB_2"/>
      <sheetName val="F_GAB_3"/>
      <sheetName val="F_GAB_4"/>
      <sheetName val="F_GAB_5"/>
      <sheetName val="F_GAB_6"/>
      <sheetName val="F_GAB_7"/>
      <sheetName val="F_GAB_9"/>
      <sheetName val="F_GAB_10"/>
      <sheetName val="F_GAB_11"/>
      <sheetName val="F_GAB_12"/>
      <sheetName val="F_GAB_13"/>
      <sheetName val="F_GAB_14"/>
      <sheetName val="F_GAB_15"/>
      <sheetName val="F_GAB_16"/>
      <sheetName val="F_GAB_17"/>
      <sheetName val="F_GAB_18"/>
      <sheetName val="F_GAB_8"/>
      <sheetName val="F_GAB_19"/>
      <sheetName val="F_GAB_21"/>
      <sheetName val="F_GAB_22"/>
      <sheetName val="F_GAB_23"/>
      <sheetName val="F_GAB_24"/>
      <sheetName val="F_GAB_25"/>
      <sheetName val="F_GAB_26"/>
      <sheetName val="F_GAB_27"/>
      <sheetName val="F_GAB_28"/>
      <sheetName val="F_GAB_29"/>
      <sheetName val="F_GAB_30"/>
      <sheetName val="F_GAB_31"/>
      <sheetName val="F_GAB_32"/>
      <sheetName val="F_GAB_33"/>
      <sheetName val="F_GAB_34"/>
      <sheetName val="F_GAB_35"/>
      <sheetName val="F_GAB_36"/>
      <sheetName val="F_GAB_37"/>
      <sheetName val="F_GAB_38"/>
      <sheetName val="F_GAB_39"/>
      <sheetName val="F_GAB_40"/>
      <sheetName val="F_GAB_41"/>
      <sheetName val="F_GAB_42"/>
      <sheetName val="F_GAB_43"/>
      <sheetName val="F_GAB_44"/>
      <sheetName val="F_GAB_45"/>
      <sheetName val="F_GAB_46"/>
      <sheetName val="F_GAB_47"/>
      <sheetName val="F_GAB_48"/>
      <sheetName val="F_GAB_49"/>
      <sheetName val="F_GAB_51"/>
      <sheetName val="F_GAB_52"/>
      <sheetName val="F_GAB_50"/>
      <sheetName val="F_GAB_53"/>
      <sheetName val="F_GAB_54"/>
      <sheetName val="F_GAB_55"/>
      <sheetName val="Moy_GAB_Pkou_BOA"/>
      <sheetName val="Moy_GAB_Pkou_BIIC"/>
      <sheetName val="Moy_GAB_Pkou_BGFI"/>
      <sheetName val="Moy_GAB_Pkou_NSIA"/>
      <sheetName val="Moy_GAB_Pkou_ATL"/>
      <sheetName val="Moy_GAB_Pkou_BSIC"/>
      <sheetName val="Moy_GAB_Pkou_ORAB"/>
      <sheetName val="Moy_GAB_Pkou_UBA "/>
      <sheetName val="Moy_GAB_Pkou_ECOB"/>
      <sheetName val="Moy_GAB_Pkou_CCEI"/>
      <sheetName val="Moy_GAB_Pkou_CORIS"/>
    </sheetNames>
    <sheetDataSet>
      <sheetData sheetId="0">
        <row r="3">
          <cell r="J3" t="str">
            <v>Veuillez choisir une ville d'abord !</v>
          </cell>
        </row>
      </sheetData>
      <sheetData sheetId="1">
        <row r="5">
          <cell r="B5" t="str">
            <v>ÉVALUATION DE L’ÉTAT DE FONCTIONNEMENT DES GAB/DAB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3">
          <cell r="E13">
            <v>5</v>
          </cell>
        </row>
      </sheetData>
      <sheetData sheetId="29">
        <row r="13">
          <cell r="E13">
            <v>5</v>
          </cell>
        </row>
      </sheetData>
      <sheetData sheetId="30">
        <row r="13">
          <cell r="E13">
            <v>4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3">
          <cell r="E13">
            <v>4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Moy_FI_Lok_OraBank"/>
      <sheetName val="FI_9"/>
      <sheetName val="FI_10"/>
      <sheetName val="FI_12"/>
      <sheetName val="FI_13"/>
      <sheetName val="FI_14"/>
      <sheetName val="FI_15"/>
      <sheetName val="FI_16"/>
      <sheetName val="FI_17"/>
      <sheetName val="FI_18"/>
      <sheetName val="FI_19"/>
      <sheetName val="Moy_FI_Lok_BOA"/>
      <sheetName val="Moy_FI_Lok_EcoBank"/>
      <sheetName val="Moy_FI_Come_BOA"/>
      <sheetName val="Moy_FI_Come_UBA"/>
      <sheetName val="Moy_FI_Hilac_NSIA"/>
      <sheetName val="FI_1"/>
      <sheetName val="FI"/>
      <sheetName val="FI_2"/>
      <sheetName val="FI_3"/>
      <sheetName val="FI_5"/>
      <sheetName val="FI_6"/>
      <sheetName val="FI_7"/>
      <sheetName val="FI_8"/>
      <sheetName val="FI_20"/>
      <sheetName val="Moy_FI_Pkou_"/>
      <sheetName val="FI_27"/>
      <sheetName val="FI_28"/>
      <sheetName val="FI_29"/>
      <sheetName val="FI_30"/>
      <sheetName val="FI_31"/>
      <sheetName val="FI_32"/>
      <sheetName val="FI_33"/>
      <sheetName val="FI_34"/>
      <sheetName val="FI_35"/>
      <sheetName val="FI_36"/>
      <sheetName val="FI_37"/>
      <sheetName val="Accueil"/>
      <sheetName val="FI_4"/>
      <sheetName val="FI_21"/>
      <sheetName val="FI_22"/>
      <sheetName val="FI_23"/>
      <sheetName val="FI_24"/>
      <sheetName val="FI_25"/>
      <sheetName val="FI_26"/>
      <sheetName val="FI_38"/>
      <sheetName val="FI_39"/>
      <sheetName val="FI_40"/>
      <sheetName val="FI_41"/>
      <sheetName val="FI_42"/>
      <sheetName val="FI_43"/>
      <sheetName val="FI_44"/>
      <sheetName val="FI_45"/>
      <sheetName val="FI_46"/>
      <sheetName val="FI_47"/>
      <sheetName val="FI_48"/>
      <sheetName val="FI_49"/>
      <sheetName val="FI_51"/>
      <sheetName val="FI_52"/>
      <sheetName val="FI_53"/>
      <sheetName val="FI_54"/>
      <sheetName val="FI_56"/>
      <sheetName val="FI_57"/>
      <sheetName val="FI_58"/>
      <sheetName val="FI_59"/>
      <sheetName val="Moy_FI_Pkou_NSIA"/>
      <sheetName val="Moy_FI_Pkou_ATL"/>
      <sheetName val="Moy_FI_Pkou_BSIC"/>
      <sheetName val="Moy_FI_Pkou_ORAB"/>
      <sheetName val="Moy_FI_Pkou_UBA "/>
      <sheetName val="Moy_FI_Pkou_ECOB"/>
      <sheetName val="Moy_FI_Pkou_CCEI"/>
      <sheetName val="Moy_FI_Pkou_BOA"/>
      <sheetName val="Moy_FI_Pkou_BIIC"/>
      <sheetName val="Moy_FI_Pkou_BGFI"/>
      <sheetName val="Moy_FI_Pkou_CORIS"/>
    </sheetNames>
    <sheetDataSet>
      <sheetData sheetId="0">
        <row r="3">
          <cell r="J3" t="str">
            <v>Veuillez choisir une ville d'abord 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3">
          <cell r="E13">
            <v>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5">
          <cell r="B5" t="str">
            <v>ÉVALUATION SUR SITE DU FONCTIONNEMENT INTERNE DES BANQUES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3">
          <cell r="E13">
            <v>5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3">
          <cell r="E13">
            <v>5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3">
          <cell r="E13">
            <v>5</v>
          </cell>
        </row>
      </sheetData>
      <sheetData sheetId="61" refreshError="1"/>
      <sheetData sheetId="62" refreshError="1"/>
      <sheetData sheetId="63" refreshError="1"/>
      <sheetData sheetId="64">
        <row r="13">
          <cell r="E13">
            <v>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Accueil"/>
      <sheetName val="Moy_QS_Pkou_"/>
      <sheetName val="F_QS"/>
      <sheetName val="Moy_QS_Lok_OraBank"/>
      <sheetName val="Moy_QS_Lok_BOA"/>
      <sheetName val="Moy_QS_Lok_EcoBank"/>
      <sheetName val="Moy_QS_Come_BOA"/>
      <sheetName val="Moy_QS_Come_UBA"/>
      <sheetName val="Moy_QS_Hilac_NSIA"/>
      <sheetName val="F_QS_1"/>
      <sheetName val="F_QS_2"/>
      <sheetName val="F_QS_3"/>
      <sheetName val="F_QS_4"/>
      <sheetName val="F_QS_5"/>
      <sheetName val="F_QS_6"/>
      <sheetName val="F_QS_7"/>
      <sheetName val="F_QS_8"/>
      <sheetName val="F_QS_9"/>
      <sheetName val="F_QS_10"/>
      <sheetName val="F_QS_11"/>
      <sheetName val="F_QS_12"/>
      <sheetName val="F_QS_13"/>
      <sheetName val="F_QS_14"/>
      <sheetName val="F_QS_15"/>
      <sheetName val="F_QS_16"/>
      <sheetName val="F_QS_17"/>
      <sheetName val="F_QS_18"/>
      <sheetName val="F_QS_19"/>
      <sheetName val="F_QS_20"/>
      <sheetName val="F_QS_21"/>
      <sheetName val="F_QS_22"/>
      <sheetName val="F_QS_23"/>
      <sheetName val="F_QS_24"/>
      <sheetName val="F_QS_25"/>
      <sheetName val="F_QS_26"/>
      <sheetName val="F_QS_27"/>
      <sheetName val="F_QS_28"/>
      <sheetName val="F_QS_29"/>
      <sheetName val="F_QS_30"/>
      <sheetName val="F_QS_31"/>
      <sheetName val="F_QS_32"/>
      <sheetName val="F_QS_33"/>
      <sheetName val="F_QS_34"/>
      <sheetName val="F_QS_35"/>
      <sheetName val="F_QS_36"/>
      <sheetName val="F_QS_37"/>
      <sheetName val="F_QS_38"/>
      <sheetName val="F_QS_39"/>
      <sheetName val="F_QS_40"/>
      <sheetName val="F_QS_41"/>
      <sheetName val="F_QS_42"/>
      <sheetName val="F_QS_43"/>
      <sheetName val="F_QS_44"/>
      <sheetName val="F_QS_45"/>
      <sheetName val="F_QS_46"/>
      <sheetName val="F_QS_47"/>
      <sheetName val="F_QS_48"/>
      <sheetName val="F_QS_49"/>
      <sheetName val="F_QS_51"/>
      <sheetName val="F_QS_52"/>
      <sheetName val="F_QS_53"/>
      <sheetName val="F_QS_54"/>
      <sheetName val="F_QS_55"/>
      <sheetName val="F_QS_50"/>
      <sheetName val="F_QS_56"/>
      <sheetName val="Moy_QS_Pkou_BOA"/>
      <sheetName val="Moy_QS_Pkou_BSIC"/>
      <sheetName val="Moy_QS_Pkou_BIIC"/>
      <sheetName val="Moy_QS_Pkou_BGFI"/>
      <sheetName val="Moy_QS_Pkou_NSIA"/>
      <sheetName val="Moy_QS_Pkou_ATL"/>
      <sheetName val="Moy_QS_Pkou_ORAB"/>
      <sheetName val="Moy_QS_Pkou_UBA "/>
      <sheetName val="Moy_QS_Pkou_ECOB"/>
      <sheetName val="Moy_QS_Pkou_CCEI"/>
      <sheetName val="Moy_QS_Pkou_CORIS"/>
    </sheetNames>
    <sheetDataSet>
      <sheetData sheetId="0">
        <row r="3">
          <cell r="J3" t="str">
            <v>Veuillez choisir une ville d'abord !</v>
          </cell>
        </row>
      </sheetData>
      <sheetData sheetId="1">
        <row r="5">
          <cell r="B5" t="str">
            <v>ÉVALUATION DE LA QUALITÉ DE SERVICE BANCAIRE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3">
          <cell r="E13">
            <v>5</v>
          </cell>
        </row>
      </sheetData>
      <sheetData sheetId="29" refreshError="1"/>
      <sheetData sheetId="30">
        <row r="13">
          <cell r="E13">
            <v>5</v>
          </cell>
        </row>
      </sheetData>
      <sheetData sheetId="31">
        <row r="13">
          <cell r="E13">
            <v>5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3">
          <cell r="E13">
            <v>4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nctionnement_Interne_3" displayName="Fonctionnement_Interne_3" ref="A2:F14">
  <tableColumns count="6">
    <tableColumn id="1" xr3:uid="{00000000-0010-0000-0000-000001000000}" name="N°"/>
    <tableColumn id="2" xr3:uid="{00000000-0010-0000-0000-000002000000}" name="Composante évaluée"/>
    <tableColumn id="3" xr3:uid="{00000000-0010-0000-0000-000003000000}" name="Critères / Indicateurs"/>
    <tableColumn id="4" xr3:uid="{00000000-0010-0000-0000-000004000000}" name="Mode de vérification"/>
    <tableColumn id="5" xr3:uid="{00000000-0010-0000-0000-000005000000}" name="Score / 5"/>
    <tableColumn id="6" xr3:uid="{00000000-0010-0000-0000-000006000000}" name="Observations / Recommandations"/>
  </tableColumns>
  <tableStyleInfo name="F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nctionnement_Interne" displayName="Fonctionnement_Interne" ref="A2:F14">
  <tableColumns count="6">
    <tableColumn id="1" xr3:uid="{00000000-0010-0000-0100-000001000000}" name="N°"/>
    <tableColumn id="2" xr3:uid="{00000000-0010-0000-0100-000002000000}" name="Composante évaluée"/>
    <tableColumn id="3" xr3:uid="{00000000-0010-0000-0100-000003000000}" name="Critères / Indicateurs"/>
    <tableColumn id="4" xr3:uid="{00000000-0010-0000-0100-000004000000}" name="Mode de vérification"/>
    <tableColumn id="5" xr3:uid="{00000000-0010-0000-0100-000005000000}" name="Score / 5"/>
    <tableColumn id="6" xr3:uid="{00000000-0010-0000-0100-000006000000}" name="Observations / Recommandations"/>
  </tableColumns>
  <tableStyleInfo name="F_Q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nctionnement_Interne_2" displayName="Fonctionnement_Interne_2" ref="A2:F14">
  <tableColumns count="6">
    <tableColumn id="1" xr3:uid="{00000000-0010-0000-0200-000001000000}" name="N°"/>
    <tableColumn id="2" xr3:uid="{00000000-0010-0000-0200-000002000000}" name="Composante évaluée"/>
    <tableColumn id="3" xr3:uid="{00000000-0010-0000-0200-000003000000}" name="Critères / Indicateurs"/>
    <tableColumn id="4" xr3:uid="{00000000-0010-0000-0200-000004000000}" name="Mode de vérification"/>
    <tableColumn id="5" xr3:uid="{00000000-0010-0000-0200-000005000000}" name="Score / 5"/>
    <tableColumn id="6" xr3:uid="{00000000-0010-0000-0200-000006000000}" name="Observations / Recommandations"/>
  </tableColumns>
  <tableStyleInfo name="F_GAB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4:B9" headerRowCount="0">
  <tableColumns count="2">
    <tableColumn id="1" xr3:uid="{00000000-0010-0000-0300-000001000000}" name="Column1"/>
    <tableColumn id="2" xr3:uid="{00000000-0010-0000-0300-000002000000}" name="Column2"/>
  </tableColumns>
  <tableStyleInfo name="BAREM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4E8FCD-8A2F-463D-8A45-1AE04B4648D9}" name="Fonctionnement_Interne_58" displayName="Fonctionnement_Interne_58" ref="A8:F20">
  <tableColumns count="6">
    <tableColumn id="1" xr3:uid="{9B93E75B-9EFE-4687-A931-A84078CD5B07}" name="N°"/>
    <tableColumn id="2" xr3:uid="{7AFEE681-C269-41D5-BCD3-CCF89842478D}" name="Composante évaluée"/>
    <tableColumn id="3" xr3:uid="{14FFB955-6A38-4527-A21C-457606EB27BB}" name="Critères / Indicateurs"/>
    <tableColumn id="4" xr3:uid="{D2EF2FB9-48CA-4115-BFD0-E3E395ED7ECF}" name="Mode de vérification"/>
    <tableColumn id="5" xr3:uid="{70D917BF-276B-4BCE-A7F6-263E6C4C910B}" name="Moyenne / 5"/>
    <tableColumn id="7" xr3:uid="{15F1F68A-772E-4CD6-800E-2C821C494045}" name="Observations"/>
  </tableColumns>
  <tableStyleInfo name="Moy_FI_Pkou_NSI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FD7FA28-B39B-41EE-AD73-F70B114C5006}" name="Fonctionnement_Interne_65" displayName="Fonctionnement_Interne_65" ref="A8:F20">
  <tableColumns count="6">
    <tableColumn id="1" xr3:uid="{525C6B1F-9E4B-413B-A904-A351904FDDB8}" name="N°"/>
    <tableColumn id="2" xr3:uid="{F34A3345-BB71-46E3-B1F4-64EA909D56A2}" name="Composante évaluée"/>
    <tableColumn id="3" xr3:uid="{B77AE9BB-38E8-4489-9A68-614D3278BE83}" name="Critères / Indicateurs"/>
    <tableColumn id="4" xr3:uid="{8948D968-BE9E-43FB-90BA-89B3CD464B42}" name="Mode de vérification"/>
    <tableColumn id="5" xr3:uid="{48C5479A-AB57-480A-A4E1-74CC7DFD9E8C}" name="Moyenne / 5"/>
    <tableColumn id="7" xr3:uid="{029597C5-9F55-46AF-BAF6-66B405B55013}" name="Observations"/>
  </tableColumns>
  <tableStyleInfo name="Moy_QS_Pkou_BO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73F299-4260-4373-A0A0-45A077C7DEC1}" name="Fonctionnement_Interne_63" displayName="Fonctionnement_Interne_63" ref="A8:F20">
  <tableColumns count="6">
    <tableColumn id="1" xr3:uid="{14480E8D-7E02-4AEB-BCB0-B544BB0BBC3F}" name="N°"/>
    <tableColumn id="2" xr3:uid="{D76EC4C0-79AA-43C4-BB20-CC84F593B7A1}" name="Composante évaluée"/>
    <tableColumn id="3" xr3:uid="{6AD37512-A506-41F7-8CDD-A5419DD1F8AC}" name="Critères / Indicateurs"/>
    <tableColumn id="4" xr3:uid="{3A43A17F-4862-459B-91E0-8DA42B94296E}" name="Mode de vérification"/>
    <tableColumn id="5" xr3:uid="{57E1E778-BC24-433C-9F87-B243F12CC290}" name="Moyenne / 5"/>
    <tableColumn id="7" xr3:uid="{62031CFA-594A-4C82-95A1-8BA769C356F0}" name="Observations"/>
  </tableColumns>
  <tableStyleInfo name="Moy_GAB_Pkou_BO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4"/>
  <sheetViews>
    <sheetView workbookViewId="0"/>
  </sheetViews>
  <sheetFormatPr baseColWidth="10" defaultColWidth="12.5703125" defaultRowHeight="15.75" customHeight="1"/>
  <cols>
    <col min="1" max="1" width="8.140625" customWidth="1"/>
    <col min="2" max="4" width="30" customWidth="1"/>
    <col min="5" max="5" width="11.140625" customWidth="1"/>
    <col min="6" max="6" width="31.42578125" customWidth="1"/>
  </cols>
  <sheetData>
    <row r="1" spans="1:13" ht="31.5" customHeight="1">
      <c r="A1" s="1"/>
      <c r="B1" s="2"/>
      <c r="C1" s="2"/>
      <c r="D1" s="2"/>
      <c r="E1" s="1"/>
      <c r="F1" s="3"/>
    </row>
    <row r="2" spans="1:13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spans="1:13" ht="73.5" customHeight="1">
      <c r="A3" s="6">
        <v>1</v>
      </c>
      <c r="B3" s="7" t="s">
        <v>6</v>
      </c>
      <c r="C3" s="7" t="s">
        <v>7</v>
      </c>
      <c r="D3" s="7" t="s">
        <v>8</v>
      </c>
      <c r="E3" s="6"/>
      <c r="F3" s="8"/>
      <c r="G3" s="9"/>
      <c r="H3" s="9"/>
      <c r="I3" s="9"/>
      <c r="J3" s="9"/>
      <c r="K3" s="9"/>
      <c r="L3" s="9"/>
      <c r="M3" s="9"/>
    </row>
    <row r="4" spans="1:13" ht="89.25" customHeight="1">
      <c r="A4" s="6">
        <v>2</v>
      </c>
      <c r="B4" s="10" t="s">
        <v>9</v>
      </c>
      <c r="C4" s="10" t="s">
        <v>10</v>
      </c>
      <c r="D4" s="10" t="s">
        <v>11</v>
      </c>
      <c r="E4" s="6"/>
      <c r="F4" s="8"/>
      <c r="G4" s="9"/>
      <c r="H4" s="9"/>
      <c r="I4" s="9"/>
      <c r="J4" s="9"/>
      <c r="K4" s="9"/>
      <c r="L4" s="9"/>
      <c r="M4" s="9"/>
    </row>
    <row r="5" spans="1:13" ht="74.25" customHeight="1">
      <c r="A5" s="6">
        <v>3</v>
      </c>
      <c r="B5" s="7" t="s">
        <v>12</v>
      </c>
      <c r="C5" s="7" t="s">
        <v>13</v>
      </c>
      <c r="D5" s="7" t="s">
        <v>14</v>
      </c>
      <c r="E5" s="6"/>
      <c r="F5" s="8"/>
      <c r="G5" s="9"/>
      <c r="H5" s="9"/>
      <c r="I5" s="9"/>
      <c r="J5" s="9"/>
      <c r="K5" s="9"/>
      <c r="L5" s="9"/>
      <c r="M5" s="9"/>
    </row>
    <row r="6" spans="1:13" ht="57" customHeight="1">
      <c r="A6" s="6">
        <v>4</v>
      </c>
      <c r="B6" s="10" t="s">
        <v>15</v>
      </c>
      <c r="C6" s="10" t="s">
        <v>16</v>
      </c>
      <c r="D6" s="10" t="s">
        <v>17</v>
      </c>
      <c r="E6" s="6"/>
      <c r="F6" s="8"/>
      <c r="G6" s="9"/>
      <c r="H6" s="9"/>
      <c r="I6" s="9"/>
      <c r="J6" s="9"/>
      <c r="K6" s="9"/>
      <c r="L6" s="9"/>
      <c r="M6" s="9"/>
    </row>
    <row r="7" spans="1:13" ht="62.25" customHeight="1">
      <c r="A7" s="6">
        <v>5</v>
      </c>
      <c r="B7" s="7" t="s">
        <v>18</v>
      </c>
      <c r="C7" s="7" t="s">
        <v>19</v>
      </c>
      <c r="D7" s="7" t="s">
        <v>20</v>
      </c>
      <c r="E7" s="6"/>
      <c r="F7" s="8"/>
      <c r="G7" s="9"/>
      <c r="H7" s="9"/>
      <c r="I7" s="9"/>
      <c r="J7" s="9"/>
      <c r="K7" s="9"/>
      <c r="L7" s="9"/>
      <c r="M7" s="9"/>
    </row>
    <row r="8" spans="1:13" ht="93.75" customHeight="1">
      <c r="A8" s="6">
        <v>6</v>
      </c>
      <c r="B8" s="10" t="s">
        <v>21</v>
      </c>
      <c r="C8" s="10" t="s">
        <v>22</v>
      </c>
      <c r="D8" s="10" t="s">
        <v>23</v>
      </c>
      <c r="E8" s="6"/>
      <c r="F8" s="8"/>
      <c r="G8" s="9"/>
      <c r="H8" s="9"/>
      <c r="I8" s="9"/>
      <c r="J8" s="9"/>
      <c r="K8" s="9"/>
      <c r="L8" s="9"/>
      <c r="M8" s="9"/>
    </row>
    <row r="9" spans="1:13" ht="84.75" customHeight="1">
      <c r="A9" s="6">
        <v>7</v>
      </c>
      <c r="B9" s="7" t="s">
        <v>24</v>
      </c>
      <c r="C9" s="7" t="s">
        <v>25</v>
      </c>
      <c r="D9" s="7" t="s">
        <v>26</v>
      </c>
      <c r="E9" s="6"/>
      <c r="F9" s="8"/>
      <c r="G9" s="9"/>
      <c r="H9" s="9"/>
      <c r="I9" s="9"/>
      <c r="J9" s="9"/>
      <c r="K9" s="9"/>
      <c r="L9" s="9"/>
      <c r="M9" s="9"/>
    </row>
    <row r="10" spans="1:13" ht="79.5" customHeight="1">
      <c r="A10" s="6">
        <v>8</v>
      </c>
      <c r="B10" s="10" t="s">
        <v>27</v>
      </c>
      <c r="C10" s="10" t="s">
        <v>28</v>
      </c>
      <c r="D10" s="10" t="s">
        <v>29</v>
      </c>
      <c r="E10" s="6"/>
      <c r="F10" s="8"/>
      <c r="G10" s="9"/>
      <c r="H10" s="9"/>
      <c r="I10" s="9"/>
      <c r="J10" s="9"/>
      <c r="K10" s="9"/>
      <c r="L10" s="9"/>
      <c r="M10" s="9"/>
    </row>
    <row r="11" spans="1:13" ht="51" customHeight="1">
      <c r="A11" s="6">
        <v>9</v>
      </c>
      <c r="B11" s="7" t="s">
        <v>30</v>
      </c>
      <c r="C11" s="7" t="s">
        <v>31</v>
      </c>
      <c r="D11" s="7" t="s">
        <v>32</v>
      </c>
      <c r="E11" s="6"/>
      <c r="F11" s="8"/>
      <c r="G11" s="9"/>
      <c r="H11" s="9"/>
      <c r="I11" s="9"/>
      <c r="J11" s="9"/>
      <c r="K11" s="9"/>
      <c r="L11" s="9"/>
      <c r="M11" s="9"/>
    </row>
    <row r="12" spans="1:13" ht="77.25" customHeight="1">
      <c r="A12" s="6">
        <v>10</v>
      </c>
      <c r="B12" s="10" t="s">
        <v>33</v>
      </c>
      <c r="C12" s="10" t="s">
        <v>34</v>
      </c>
      <c r="D12" s="10" t="s">
        <v>35</v>
      </c>
      <c r="E12" s="6"/>
      <c r="F12" s="8"/>
      <c r="G12" s="9"/>
      <c r="H12" s="9"/>
      <c r="I12" s="9"/>
      <c r="J12" s="9"/>
      <c r="K12" s="9"/>
      <c r="L12" s="9"/>
      <c r="M12" s="9"/>
    </row>
    <row r="13" spans="1:13" ht="101.25" customHeight="1">
      <c r="A13" s="6">
        <v>11</v>
      </c>
      <c r="B13" s="7" t="s">
        <v>36</v>
      </c>
      <c r="C13" s="7" t="s">
        <v>37</v>
      </c>
      <c r="D13" s="7" t="s">
        <v>38</v>
      </c>
      <c r="E13" s="6"/>
      <c r="F13" s="8"/>
      <c r="G13" s="9"/>
      <c r="H13" s="9"/>
      <c r="I13" s="9"/>
      <c r="J13" s="9"/>
      <c r="K13" s="9"/>
      <c r="L13" s="9"/>
      <c r="M13" s="9"/>
    </row>
    <row r="14" spans="1:13" ht="87" customHeight="1">
      <c r="A14" s="6">
        <v>12</v>
      </c>
      <c r="B14" s="10" t="s">
        <v>39</v>
      </c>
      <c r="C14" s="10" t="s">
        <v>40</v>
      </c>
      <c r="D14" s="10" t="s">
        <v>41</v>
      </c>
      <c r="E14" s="6"/>
      <c r="F14" s="8"/>
      <c r="G14" s="9"/>
      <c r="H14" s="9"/>
      <c r="I14" s="9"/>
      <c r="J14" s="9"/>
      <c r="K14" s="9"/>
      <c r="L14" s="9"/>
      <c r="M14" s="9"/>
    </row>
  </sheetData>
  <dataValidations count="3">
    <dataValidation type="list" allowBlank="1" sqref="E3:E14" xr:uid="{00000000-0002-0000-0000-000000000000}">
      <formula1>"5,4,3,2,1"</formula1>
    </dataValidation>
    <dataValidation type="custom" allowBlank="1" showDropDown="1" sqref="A3:A14" xr:uid="{00000000-0002-0000-0000-000001000000}">
      <formula1>AND(ISNUMBER(A3),(NOT(OR(NOT(ISERROR(DATEVALUE(A3))), AND(ISNUMBER(A3), LEFT(CELL("format", A3))="D")))))</formula1>
    </dataValidation>
    <dataValidation allowBlank="1" showDropDown="1" sqref="F3:F14" xr:uid="{00000000-0002-0000-0000-000002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4"/>
  <sheetViews>
    <sheetView workbookViewId="0">
      <selection activeCell="I9" sqref="I9"/>
    </sheetView>
  </sheetViews>
  <sheetFormatPr baseColWidth="10" defaultColWidth="12.5703125" defaultRowHeight="15.75" customHeight="1"/>
  <cols>
    <col min="1" max="1" width="8.140625" customWidth="1"/>
    <col min="2" max="4" width="30" customWidth="1"/>
    <col min="5" max="5" width="11.140625" customWidth="1"/>
    <col min="6" max="6" width="31.42578125" customWidth="1"/>
  </cols>
  <sheetData>
    <row r="1" spans="1:13" ht="31.5" customHeight="1">
      <c r="A1" s="1"/>
      <c r="B1" s="2"/>
      <c r="C1" s="2"/>
      <c r="D1" s="2"/>
      <c r="E1" s="1"/>
      <c r="F1" s="3"/>
    </row>
    <row r="2" spans="1:13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spans="1:13" ht="22.5" customHeight="1">
      <c r="A3" s="6">
        <v>1</v>
      </c>
      <c r="B3" s="11" t="s">
        <v>42</v>
      </c>
      <c r="C3" s="12" t="s">
        <v>43</v>
      </c>
      <c r="D3" s="12" t="s">
        <v>44</v>
      </c>
      <c r="E3" s="6"/>
      <c r="F3" s="8"/>
      <c r="G3" s="9"/>
      <c r="H3" s="9"/>
      <c r="I3" s="9"/>
      <c r="J3" s="9"/>
      <c r="K3" s="9"/>
      <c r="L3" s="9"/>
      <c r="M3" s="9"/>
    </row>
    <row r="4" spans="1:13" ht="22.5" customHeight="1">
      <c r="A4" s="6">
        <v>2</v>
      </c>
      <c r="B4" s="13" t="s">
        <v>45</v>
      </c>
      <c r="C4" s="14" t="s">
        <v>46</v>
      </c>
      <c r="D4" s="14" t="s">
        <v>47</v>
      </c>
      <c r="E4" s="6"/>
      <c r="F4" s="8"/>
      <c r="G4" s="9"/>
      <c r="H4" s="9"/>
      <c r="I4" s="9"/>
      <c r="J4" s="9"/>
      <c r="K4" s="9"/>
      <c r="L4" s="9"/>
      <c r="M4" s="9"/>
    </row>
    <row r="5" spans="1:13" ht="22.5" customHeight="1">
      <c r="A5" s="6">
        <v>3</v>
      </c>
      <c r="B5" s="13" t="s">
        <v>48</v>
      </c>
      <c r="C5" s="14" t="s">
        <v>49</v>
      </c>
      <c r="D5" s="14" t="s">
        <v>50</v>
      </c>
      <c r="E5" s="6"/>
      <c r="F5" s="8"/>
      <c r="G5" s="9"/>
      <c r="H5" s="9"/>
      <c r="I5" s="9"/>
      <c r="J5" s="9"/>
      <c r="K5" s="9"/>
      <c r="L5" s="9"/>
      <c r="M5" s="9"/>
    </row>
    <row r="6" spans="1:13" ht="22.5" customHeight="1">
      <c r="A6" s="6">
        <v>4</v>
      </c>
      <c r="B6" s="13" t="s">
        <v>51</v>
      </c>
      <c r="C6" s="14" t="s">
        <v>52</v>
      </c>
      <c r="D6" s="14" t="s">
        <v>53</v>
      </c>
      <c r="E6" s="6"/>
      <c r="F6" s="8"/>
      <c r="G6" s="9"/>
      <c r="H6" s="9"/>
      <c r="I6" s="9"/>
      <c r="J6" s="9"/>
      <c r="K6" s="9"/>
      <c r="L6" s="9"/>
      <c r="M6" s="9"/>
    </row>
    <row r="7" spans="1:13" ht="22.5" customHeight="1">
      <c r="A7" s="6">
        <v>5</v>
      </c>
      <c r="B7" s="13" t="s">
        <v>54</v>
      </c>
      <c r="C7" s="14" t="s">
        <v>55</v>
      </c>
      <c r="D7" s="14" t="s">
        <v>56</v>
      </c>
      <c r="E7" s="6"/>
      <c r="F7" s="8"/>
      <c r="G7" s="9"/>
      <c r="H7" s="9"/>
      <c r="I7" s="9"/>
      <c r="J7" s="9"/>
      <c r="K7" s="9"/>
      <c r="L7" s="9"/>
      <c r="M7" s="9"/>
    </row>
    <row r="8" spans="1:13" ht="22.5" customHeight="1">
      <c r="A8" s="6">
        <v>6</v>
      </c>
      <c r="B8" s="13" t="s">
        <v>57</v>
      </c>
      <c r="C8" s="14" t="s">
        <v>58</v>
      </c>
      <c r="D8" s="14" t="s">
        <v>59</v>
      </c>
      <c r="E8" s="6"/>
      <c r="F8" s="8"/>
      <c r="G8" s="9"/>
      <c r="H8" s="9"/>
      <c r="I8" s="9"/>
      <c r="J8" s="9"/>
      <c r="K8" s="9"/>
      <c r="L8" s="9"/>
      <c r="M8" s="9"/>
    </row>
    <row r="9" spans="1:13" ht="22.5" customHeight="1">
      <c r="A9" s="6">
        <v>7</v>
      </c>
      <c r="B9" s="13" t="s">
        <v>60</v>
      </c>
      <c r="C9" s="14" t="s">
        <v>61</v>
      </c>
      <c r="D9" s="14" t="s">
        <v>62</v>
      </c>
      <c r="E9" s="6"/>
      <c r="F9" s="8"/>
      <c r="G9" s="9"/>
      <c r="H9" s="9"/>
      <c r="I9" s="9"/>
      <c r="J9" s="9"/>
      <c r="K9" s="9"/>
      <c r="L9" s="9"/>
      <c r="M9" s="9"/>
    </row>
    <row r="10" spans="1:13" ht="22.5" customHeight="1">
      <c r="A10" s="6">
        <v>8</v>
      </c>
      <c r="B10" s="13" t="s">
        <v>63</v>
      </c>
      <c r="C10" s="14" t="s">
        <v>64</v>
      </c>
      <c r="D10" s="14" t="s">
        <v>65</v>
      </c>
      <c r="E10" s="6"/>
      <c r="F10" s="8"/>
      <c r="G10" s="9"/>
      <c r="H10" s="9"/>
      <c r="I10" s="9"/>
      <c r="J10" s="9"/>
      <c r="K10" s="9"/>
      <c r="L10" s="9"/>
      <c r="M10" s="9"/>
    </row>
    <row r="11" spans="1:13" ht="22.5" customHeight="1">
      <c r="A11" s="6">
        <v>9</v>
      </c>
      <c r="B11" s="13" t="s">
        <v>66</v>
      </c>
      <c r="C11" s="14" t="s">
        <v>67</v>
      </c>
      <c r="D11" s="14" t="s">
        <v>68</v>
      </c>
      <c r="E11" s="6"/>
      <c r="F11" s="8"/>
      <c r="G11" s="9"/>
      <c r="H11" s="9"/>
      <c r="I11" s="9"/>
      <c r="J11" s="9"/>
      <c r="K11" s="9"/>
      <c r="L11" s="9"/>
      <c r="M11" s="9"/>
    </row>
    <row r="12" spans="1:13" ht="22.5" customHeight="1">
      <c r="A12" s="6">
        <v>10</v>
      </c>
      <c r="B12" s="13" t="s">
        <v>69</v>
      </c>
      <c r="C12" s="14" t="s">
        <v>70</v>
      </c>
      <c r="D12" s="14" t="s">
        <v>71</v>
      </c>
      <c r="E12" s="6"/>
      <c r="F12" s="8"/>
      <c r="G12" s="9"/>
      <c r="H12" s="9"/>
      <c r="I12" s="9"/>
      <c r="J12" s="9"/>
      <c r="K12" s="9"/>
      <c r="L12" s="9"/>
      <c r="M12" s="9"/>
    </row>
    <row r="13" spans="1:13" ht="22.5" customHeight="1">
      <c r="A13" s="6">
        <v>11</v>
      </c>
      <c r="B13" s="13" t="s">
        <v>72</v>
      </c>
      <c r="C13" s="14" t="s">
        <v>73</v>
      </c>
      <c r="D13" s="14" t="s">
        <v>74</v>
      </c>
      <c r="E13" s="6"/>
      <c r="F13" s="8"/>
      <c r="G13" s="9"/>
      <c r="H13" s="9"/>
      <c r="I13" s="9"/>
      <c r="J13" s="9"/>
      <c r="K13" s="9"/>
      <c r="L13" s="9"/>
      <c r="M13" s="9"/>
    </row>
    <row r="14" spans="1:13" ht="22.5" customHeight="1">
      <c r="A14" s="6">
        <v>12</v>
      </c>
      <c r="B14" s="13" t="s">
        <v>75</v>
      </c>
      <c r="C14" s="14" t="s">
        <v>76</v>
      </c>
      <c r="D14" s="14" t="s">
        <v>77</v>
      </c>
      <c r="E14" s="6"/>
      <c r="F14" s="8"/>
      <c r="G14" s="9"/>
      <c r="H14" s="9"/>
      <c r="I14" s="9"/>
      <c r="J14" s="9"/>
      <c r="K14" s="9"/>
      <c r="L14" s="9"/>
      <c r="M14" s="9"/>
    </row>
  </sheetData>
  <dataValidations count="3">
    <dataValidation type="list" allowBlank="1" sqref="E3:E14" xr:uid="{00000000-0002-0000-0100-000000000000}">
      <formula1>"5,4,3,2,1"</formula1>
    </dataValidation>
    <dataValidation type="custom" allowBlank="1" showDropDown="1" sqref="A3:A14" xr:uid="{00000000-0002-0000-0100-000001000000}">
      <formula1>AND(ISNUMBER(A3),(NOT(OR(NOT(ISERROR(DATEVALUE(A3))), AND(ISNUMBER(A3), LEFT(CELL("format", A3))="D")))))</formula1>
    </dataValidation>
    <dataValidation allowBlank="1" showDropDown="1" sqref="F3:F14" xr:uid="{00000000-0002-0000-0100-000002000000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"/>
  <sheetViews>
    <sheetView workbookViewId="0"/>
  </sheetViews>
  <sheetFormatPr baseColWidth="10" defaultColWidth="12.5703125" defaultRowHeight="15.75" customHeight="1"/>
  <cols>
    <col min="1" max="1" width="8.7109375" customWidth="1"/>
    <col min="2" max="2" width="21.42578125" customWidth="1"/>
    <col min="3" max="3" width="19.140625" customWidth="1"/>
    <col min="4" max="4" width="21.42578125" customWidth="1"/>
    <col min="5" max="5" width="10.5703125" customWidth="1"/>
    <col min="6" max="6" width="30.85546875" customWidth="1"/>
  </cols>
  <sheetData>
    <row r="1" spans="1:13" ht="31.5" customHeight="1">
      <c r="A1" s="1"/>
      <c r="B1" s="2"/>
      <c r="C1" s="2"/>
      <c r="D1" s="2"/>
      <c r="E1" s="1"/>
      <c r="F1" s="3"/>
    </row>
    <row r="2" spans="1:13" ht="5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5"/>
      <c r="M2" s="5"/>
    </row>
    <row r="3" spans="1:13" ht="22.5" customHeight="1">
      <c r="A3" s="6">
        <v>1</v>
      </c>
      <c r="B3" s="11" t="s">
        <v>78</v>
      </c>
      <c r="C3" s="12" t="s">
        <v>79</v>
      </c>
      <c r="D3" s="12" t="s">
        <v>80</v>
      </c>
      <c r="E3" s="6"/>
      <c r="F3" s="8"/>
      <c r="G3" s="9"/>
      <c r="H3" s="9"/>
      <c r="I3" s="9"/>
      <c r="J3" s="9"/>
      <c r="K3" s="9"/>
      <c r="L3" s="9"/>
      <c r="M3" s="9"/>
    </row>
    <row r="4" spans="1:13" ht="22.5" customHeight="1">
      <c r="A4" s="6">
        <v>2</v>
      </c>
      <c r="B4" s="13" t="s">
        <v>81</v>
      </c>
      <c r="C4" s="14" t="s">
        <v>82</v>
      </c>
      <c r="D4" s="14" t="s">
        <v>83</v>
      </c>
      <c r="E4" s="6"/>
      <c r="F4" s="8"/>
      <c r="G4" s="9"/>
      <c r="H4" s="9"/>
      <c r="I4" s="9"/>
      <c r="J4" s="9"/>
      <c r="K4" s="9"/>
      <c r="L4" s="9"/>
      <c r="M4" s="9"/>
    </row>
    <row r="5" spans="1:13" ht="22.5" customHeight="1">
      <c r="A5" s="6">
        <v>3</v>
      </c>
      <c r="B5" s="13" t="s">
        <v>84</v>
      </c>
      <c r="C5" s="14" t="s">
        <v>85</v>
      </c>
      <c r="D5" s="14" t="s">
        <v>86</v>
      </c>
      <c r="E5" s="6"/>
      <c r="F5" s="8"/>
      <c r="G5" s="9"/>
      <c r="H5" s="9"/>
      <c r="I5" s="9"/>
      <c r="J5" s="9"/>
      <c r="K5" s="9"/>
      <c r="L5" s="9"/>
      <c r="M5" s="9"/>
    </row>
    <row r="6" spans="1:13" ht="22.5" customHeight="1">
      <c r="A6" s="6">
        <v>4</v>
      </c>
      <c r="B6" s="13" t="s">
        <v>87</v>
      </c>
      <c r="C6" s="14" t="s">
        <v>88</v>
      </c>
      <c r="D6" s="14" t="s">
        <v>89</v>
      </c>
      <c r="E6" s="6"/>
      <c r="F6" s="8"/>
      <c r="G6" s="9"/>
      <c r="H6" s="9"/>
      <c r="I6" s="9"/>
      <c r="J6" s="9"/>
      <c r="K6" s="9"/>
      <c r="L6" s="9"/>
      <c r="M6" s="9"/>
    </row>
    <row r="7" spans="1:13" ht="22.5" customHeight="1">
      <c r="A7" s="6">
        <v>5</v>
      </c>
      <c r="B7" s="13" t="s">
        <v>90</v>
      </c>
      <c r="C7" s="14" t="s">
        <v>91</v>
      </c>
      <c r="D7" s="14" t="s">
        <v>92</v>
      </c>
      <c r="E7" s="6"/>
      <c r="F7" s="8"/>
      <c r="G7" s="9"/>
      <c r="H7" s="9"/>
      <c r="I7" s="9"/>
      <c r="J7" s="9"/>
      <c r="K7" s="9"/>
      <c r="L7" s="9"/>
      <c r="M7" s="9"/>
    </row>
    <row r="8" spans="1:13" ht="22.5" customHeight="1">
      <c r="A8" s="6">
        <v>6</v>
      </c>
      <c r="B8" s="13" t="s">
        <v>93</v>
      </c>
      <c r="C8" s="14" t="s">
        <v>94</v>
      </c>
      <c r="D8" s="14" t="s">
        <v>95</v>
      </c>
      <c r="E8" s="6"/>
      <c r="F8" s="8"/>
      <c r="G8" s="9"/>
      <c r="H8" s="9"/>
      <c r="I8" s="9"/>
      <c r="J8" s="9"/>
      <c r="K8" s="9"/>
      <c r="L8" s="9"/>
      <c r="M8" s="9"/>
    </row>
    <row r="9" spans="1:13" ht="22.5" customHeight="1">
      <c r="A9" s="6">
        <v>7</v>
      </c>
      <c r="B9" s="13" t="s">
        <v>96</v>
      </c>
      <c r="C9" s="14" t="s">
        <v>97</v>
      </c>
      <c r="D9" s="14" t="s">
        <v>98</v>
      </c>
      <c r="E9" s="6"/>
      <c r="F9" s="8"/>
      <c r="G9" s="9"/>
      <c r="H9" s="9"/>
      <c r="I9" s="9"/>
      <c r="J9" s="9"/>
      <c r="K9" s="9"/>
      <c r="L9" s="9"/>
      <c r="M9" s="9"/>
    </row>
    <row r="10" spans="1:13" ht="22.5" customHeight="1">
      <c r="A10" s="6">
        <v>8</v>
      </c>
      <c r="B10" s="13" t="s">
        <v>99</v>
      </c>
      <c r="C10" s="14" t="s">
        <v>100</v>
      </c>
      <c r="D10" s="14" t="s">
        <v>101</v>
      </c>
      <c r="E10" s="6"/>
      <c r="F10" s="8"/>
      <c r="G10" s="9"/>
      <c r="H10" s="9"/>
      <c r="I10" s="9"/>
      <c r="J10" s="9"/>
      <c r="K10" s="9"/>
      <c r="L10" s="9"/>
      <c r="M10" s="9"/>
    </row>
    <row r="11" spans="1:13" ht="22.5" customHeight="1">
      <c r="A11" s="6">
        <v>9</v>
      </c>
      <c r="B11" s="13" t="s">
        <v>102</v>
      </c>
      <c r="C11" s="14" t="s">
        <v>103</v>
      </c>
      <c r="D11" s="14" t="s">
        <v>104</v>
      </c>
      <c r="E11" s="6"/>
      <c r="F11" s="8"/>
      <c r="G11" s="9"/>
      <c r="H11" s="9"/>
      <c r="I11" s="9"/>
      <c r="J11" s="9"/>
      <c r="K11" s="9"/>
      <c r="L11" s="9"/>
      <c r="M11" s="9"/>
    </row>
    <row r="12" spans="1:13" ht="22.5" customHeight="1">
      <c r="A12" s="6">
        <v>10</v>
      </c>
      <c r="B12" s="13" t="s">
        <v>105</v>
      </c>
      <c r="C12" s="14" t="s">
        <v>106</v>
      </c>
      <c r="D12" s="14" t="s">
        <v>107</v>
      </c>
      <c r="E12" s="6"/>
      <c r="F12" s="8"/>
      <c r="G12" s="9"/>
      <c r="H12" s="9"/>
      <c r="I12" s="9"/>
      <c r="J12" s="9"/>
      <c r="K12" s="9"/>
      <c r="L12" s="9"/>
      <c r="M12" s="9"/>
    </row>
    <row r="13" spans="1:13" ht="22.5" customHeight="1">
      <c r="A13" s="6">
        <v>11</v>
      </c>
      <c r="B13" s="13" t="s">
        <v>108</v>
      </c>
      <c r="C13" s="14" t="s">
        <v>109</v>
      </c>
      <c r="D13" s="14" t="s">
        <v>110</v>
      </c>
      <c r="E13" s="6"/>
      <c r="F13" s="8"/>
      <c r="G13" s="9"/>
      <c r="H13" s="9"/>
      <c r="I13" s="9"/>
      <c r="J13" s="9"/>
      <c r="K13" s="9"/>
      <c r="L13" s="9"/>
      <c r="M13" s="9"/>
    </row>
    <row r="14" spans="1:13" ht="22.5" customHeight="1">
      <c r="A14" s="6">
        <v>12</v>
      </c>
      <c r="B14" s="13" t="s">
        <v>111</v>
      </c>
      <c r="C14" s="14" t="s">
        <v>112</v>
      </c>
      <c r="D14" s="14" t="s">
        <v>113</v>
      </c>
      <c r="E14" s="6"/>
      <c r="F14" s="8"/>
      <c r="G14" s="9"/>
      <c r="H14" s="9"/>
      <c r="I14" s="9"/>
      <c r="J14" s="9"/>
      <c r="K14" s="9"/>
      <c r="L14" s="9"/>
      <c r="M14" s="9"/>
    </row>
  </sheetData>
  <dataValidations count="3">
    <dataValidation type="list" allowBlank="1" sqref="E3:E14" xr:uid="{00000000-0002-0000-0200-000000000000}">
      <formula1>"5,4,3,2,1"</formula1>
    </dataValidation>
    <dataValidation type="custom" allowBlank="1" showDropDown="1" sqref="A3:A14" xr:uid="{00000000-0002-0000-0200-000001000000}">
      <formula1>AND(ISNUMBER(A3),(NOT(OR(NOT(ISERROR(DATEVALUE(A3))), AND(ISNUMBER(A3), LEFT(CELL("format", A3))="D")))))</formula1>
    </dataValidation>
    <dataValidation allowBlank="1" showDropDown="1" sqref="F3:F14" xr:uid="{00000000-0002-0000-0200-000002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B9"/>
  <sheetViews>
    <sheetView workbookViewId="0">
      <selection activeCell="G22" sqref="G22"/>
    </sheetView>
  </sheetViews>
  <sheetFormatPr baseColWidth="10" defaultColWidth="12.5703125" defaultRowHeight="15.75" customHeight="1"/>
  <cols>
    <col min="2" max="2" width="28.140625" customWidth="1"/>
  </cols>
  <sheetData>
    <row r="3" spans="1:2">
      <c r="A3" s="19" t="s">
        <v>114</v>
      </c>
      <c r="B3" s="20"/>
    </row>
    <row r="4" spans="1:2" ht="27.75" customHeight="1">
      <c r="A4" s="15" t="s">
        <v>115</v>
      </c>
      <c r="B4" s="15" t="s">
        <v>116</v>
      </c>
    </row>
    <row r="5" spans="1:2" ht="15">
      <c r="A5" s="16">
        <v>5</v>
      </c>
      <c r="B5" s="17" t="s">
        <v>117</v>
      </c>
    </row>
    <row r="6" spans="1:2" ht="45">
      <c r="A6" s="16">
        <v>4</v>
      </c>
      <c r="B6" s="17" t="s">
        <v>118</v>
      </c>
    </row>
    <row r="7" spans="1:2" ht="30">
      <c r="A7" s="16">
        <v>3</v>
      </c>
      <c r="B7" s="17" t="s">
        <v>119</v>
      </c>
    </row>
    <row r="8" spans="1:2" ht="30">
      <c r="A8" s="16">
        <v>2</v>
      </c>
      <c r="B8" s="17" t="s">
        <v>120</v>
      </c>
    </row>
    <row r="9" spans="1:2" ht="30">
      <c r="A9" s="16">
        <v>1</v>
      </c>
      <c r="B9" s="17" t="s">
        <v>121</v>
      </c>
    </row>
  </sheetData>
  <mergeCells count="1">
    <mergeCell ref="A3:B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EF62-18E3-433E-8631-88C908B1C3E2}">
  <sheetPr>
    <outlinePr summaryBelow="0" summaryRight="0"/>
  </sheetPr>
  <dimension ref="A1:P20"/>
  <sheetViews>
    <sheetView workbookViewId="0">
      <selection activeCell="I8" sqref="I8"/>
    </sheetView>
  </sheetViews>
  <sheetFormatPr baseColWidth="10" defaultColWidth="12.5703125" defaultRowHeight="15.75" customHeight="1"/>
  <cols>
    <col min="1" max="1" width="8.42578125" customWidth="1"/>
    <col min="2" max="2" width="16.85546875" customWidth="1"/>
    <col min="3" max="3" width="30.140625" customWidth="1"/>
    <col min="4" max="4" width="26.42578125" customWidth="1"/>
    <col min="5" max="5" width="20.140625" customWidth="1"/>
    <col min="6" max="6" width="31.28515625" customWidth="1"/>
  </cols>
  <sheetData>
    <row r="1" spans="1:16" ht="12.75">
      <c r="A1" s="1"/>
      <c r="B1" s="2"/>
      <c r="C1" s="2"/>
      <c r="D1" s="2"/>
      <c r="E1" s="2"/>
      <c r="F1" s="3"/>
    </row>
    <row r="2" spans="1:16" ht="33.75" customHeight="1">
      <c r="A2" s="30" t="str">
        <f>[2]Accueil!B5</f>
        <v>ÉVALUATION SUR SITE DU FONCTIONNEMENT INTERNE DES BANQUES</v>
      </c>
      <c r="B2" s="20"/>
      <c r="C2" s="20"/>
      <c r="D2" s="20"/>
      <c r="E2" s="20"/>
      <c r="F2" s="20"/>
    </row>
    <row r="3" spans="1:16" ht="12.75">
      <c r="A3" s="1"/>
      <c r="B3" s="2"/>
      <c r="C3" s="2"/>
      <c r="D3" s="2"/>
      <c r="E3" s="2"/>
      <c r="F3" s="3"/>
    </row>
    <row r="4" spans="1:16">
      <c r="A4" s="1"/>
      <c r="B4" s="2"/>
      <c r="C4" s="18"/>
      <c r="D4" s="4"/>
      <c r="E4" s="22"/>
      <c r="F4" s="3"/>
    </row>
    <row r="5" spans="1:16" ht="12.75">
      <c r="A5" s="1"/>
      <c r="B5" s="2"/>
      <c r="C5" s="2"/>
      <c r="D5" s="2"/>
      <c r="E5" s="2"/>
      <c r="F5" s="3"/>
    </row>
    <row r="6" spans="1:16" ht="12.75">
      <c r="A6" s="1"/>
      <c r="B6" s="2"/>
      <c r="C6" s="2"/>
      <c r="D6" s="2"/>
      <c r="E6" s="2"/>
      <c r="F6" s="3"/>
    </row>
    <row r="7" spans="1:16" ht="31.5" customHeight="1">
      <c r="A7" s="1"/>
      <c r="B7" s="2"/>
      <c r="C7" s="2"/>
      <c r="D7" s="2"/>
      <c r="E7" s="2"/>
      <c r="F7" s="3"/>
    </row>
    <row r="8" spans="1:16" ht="55.5" customHeight="1">
      <c r="A8" s="4" t="s">
        <v>0</v>
      </c>
      <c r="B8" s="4" t="s">
        <v>1</v>
      </c>
      <c r="C8" s="4" t="s">
        <v>2</v>
      </c>
      <c r="D8" s="4" t="s">
        <v>3</v>
      </c>
      <c r="E8" s="4" t="s">
        <v>122</v>
      </c>
      <c r="F8" s="4" t="s">
        <v>123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60">
      <c r="A9" s="6">
        <v>1</v>
      </c>
      <c r="B9" s="17" t="s">
        <v>6</v>
      </c>
      <c r="C9" s="17" t="s">
        <v>7</v>
      </c>
      <c r="D9" s="17" t="s">
        <v>8</v>
      </c>
      <c r="E9" s="31"/>
      <c r="F9" s="8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45">
      <c r="A10" s="6">
        <v>2</v>
      </c>
      <c r="B10" s="17" t="s">
        <v>9</v>
      </c>
      <c r="C10" s="17" t="s">
        <v>10</v>
      </c>
      <c r="D10" s="17" t="s">
        <v>11</v>
      </c>
      <c r="E10" s="31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45">
      <c r="A11" s="6">
        <v>3</v>
      </c>
      <c r="B11" s="17" t="s">
        <v>12</v>
      </c>
      <c r="C11" s="17" t="s">
        <v>13</v>
      </c>
      <c r="D11" s="17" t="s">
        <v>14</v>
      </c>
      <c r="E11" s="31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45">
      <c r="A12" s="6">
        <v>4</v>
      </c>
      <c r="B12" s="17" t="s">
        <v>15</v>
      </c>
      <c r="C12" s="17" t="s">
        <v>16</v>
      </c>
      <c r="D12" s="17" t="s">
        <v>17</v>
      </c>
      <c r="E12" s="31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45">
      <c r="A13" s="6">
        <v>5</v>
      </c>
      <c r="B13" s="17" t="s">
        <v>18</v>
      </c>
      <c r="C13" s="17" t="s">
        <v>19</v>
      </c>
      <c r="D13" s="17" t="s">
        <v>20</v>
      </c>
      <c r="E13" s="31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30">
      <c r="A14" s="6">
        <v>6</v>
      </c>
      <c r="B14" s="17" t="s">
        <v>21</v>
      </c>
      <c r="C14" s="17" t="s">
        <v>22</v>
      </c>
      <c r="D14" s="17" t="s">
        <v>23</v>
      </c>
      <c r="E14" s="31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45">
      <c r="A15" s="6">
        <v>7</v>
      </c>
      <c r="B15" s="17" t="s">
        <v>24</v>
      </c>
      <c r="C15" s="17" t="s">
        <v>25</v>
      </c>
      <c r="D15" s="17" t="s">
        <v>26</v>
      </c>
      <c r="E15" s="31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60">
      <c r="A16" s="6">
        <v>8</v>
      </c>
      <c r="B16" s="17" t="s">
        <v>27</v>
      </c>
      <c r="C16" s="17" t="s">
        <v>28</v>
      </c>
      <c r="D16" s="17" t="s">
        <v>29</v>
      </c>
      <c r="E16" s="31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45">
      <c r="A17" s="6">
        <v>9</v>
      </c>
      <c r="B17" s="17" t="s">
        <v>30</v>
      </c>
      <c r="C17" s="17" t="s">
        <v>31</v>
      </c>
      <c r="D17" s="17" t="s">
        <v>32</v>
      </c>
      <c r="E17" s="31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60">
      <c r="A18" s="6">
        <v>10</v>
      </c>
      <c r="B18" s="17" t="s">
        <v>33</v>
      </c>
      <c r="C18" s="17" t="s">
        <v>34</v>
      </c>
      <c r="D18" s="17" t="s">
        <v>35</v>
      </c>
      <c r="E18" s="31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60">
      <c r="A19" s="6">
        <v>11</v>
      </c>
      <c r="B19" s="17" t="s">
        <v>36</v>
      </c>
      <c r="C19" s="17" t="s">
        <v>37</v>
      </c>
      <c r="D19" s="17" t="s">
        <v>38</v>
      </c>
      <c r="E19" s="31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60">
      <c r="A20" s="6">
        <v>12</v>
      </c>
      <c r="B20" s="17" t="s">
        <v>39</v>
      </c>
      <c r="C20" s="17" t="s">
        <v>40</v>
      </c>
      <c r="D20" s="17" t="s">
        <v>41</v>
      </c>
      <c r="E20" s="31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1">
    <mergeCell ref="A2:F2"/>
  </mergeCells>
  <dataValidations count="2">
    <dataValidation allowBlank="1" showDropDown="1" sqref="F9:F20" xr:uid="{7ADE5B3B-8993-408E-8546-EE06E7E31FB1}"/>
    <dataValidation type="custom" allowBlank="1" showDropDown="1" sqref="A9:A20 E9:E20" xr:uid="{50DBBD30-4554-4C0B-92D6-55B0D2DAA492}">
      <formula1>AND(ISNUMBER(A9),(NOT(OR(NOT(ISERROR(DATEVALUE(A9))), AND(ISNUMBER(A9), LEFT(CELL("format", A9))="D")))))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8FDF-D2BF-46D2-8766-2DF8CF58F790}">
  <sheetPr>
    <outlinePr summaryBelow="0" summaryRight="0"/>
  </sheetPr>
  <dimension ref="A1:Q20"/>
  <sheetViews>
    <sheetView workbookViewId="0">
      <selection activeCell="H15" sqref="H15"/>
    </sheetView>
  </sheetViews>
  <sheetFormatPr baseColWidth="10" defaultColWidth="12.5703125" defaultRowHeight="15.75" customHeight="1"/>
  <cols>
    <col min="1" max="1" width="8.140625" customWidth="1"/>
    <col min="2" max="4" width="30" customWidth="1"/>
    <col min="5" max="5" width="17" customWidth="1"/>
    <col min="6" max="6" width="31.42578125" customWidth="1"/>
  </cols>
  <sheetData>
    <row r="1" spans="1:17" ht="12.75">
      <c r="A1" s="1"/>
      <c r="B1" s="2"/>
      <c r="C1" s="2"/>
      <c r="D1" s="2"/>
      <c r="E1" s="2"/>
      <c r="F1" s="3"/>
    </row>
    <row r="2" spans="1:17">
      <c r="A2" s="21" t="str">
        <f>[3]Accueil!B5</f>
        <v>ÉVALUATION DE LA QUALITÉ DE SERVICE BANCAIRE</v>
      </c>
      <c r="B2" s="20"/>
      <c r="C2" s="20"/>
      <c r="D2" s="20"/>
      <c r="E2" s="20"/>
      <c r="F2" s="20"/>
    </row>
    <row r="3" spans="1:17" ht="12.75">
      <c r="A3" s="1"/>
      <c r="B3" s="2"/>
      <c r="C3" s="2"/>
      <c r="D3" s="2"/>
      <c r="E3" s="2"/>
      <c r="F3" s="3"/>
    </row>
    <row r="4" spans="1:17">
      <c r="A4" s="1"/>
      <c r="B4" s="2"/>
      <c r="C4" s="18"/>
      <c r="D4" s="4"/>
      <c r="E4" s="22"/>
      <c r="F4" s="3"/>
    </row>
    <row r="5" spans="1:17" ht="12.75">
      <c r="A5" s="1"/>
      <c r="B5" s="2"/>
      <c r="C5" s="2"/>
      <c r="D5" s="2"/>
      <c r="E5" s="2"/>
      <c r="F5" s="3"/>
    </row>
    <row r="6" spans="1:17" ht="12.75">
      <c r="A6" s="1"/>
      <c r="B6" s="2"/>
      <c r="C6" s="2"/>
      <c r="D6" s="2"/>
      <c r="E6" s="2"/>
      <c r="F6" s="3"/>
    </row>
    <row r="7" spans="1:17" ht="31.5" customHeight="1">
      <c r="A7" s="1"/>
      <c r="B7" s="2"/>
      <c r="C7" s="2"/>
      <c r="D7" s="2"/>
      <c r="E7" s="2"/>
      <c r="F7" s="3"/>
    </row>
    <row r="8" spans="1:17" ht="55.5" customHeight="1">
      <c r="A8" s="4" t="s">
        <v>0</v>
      </c>
      <c r="B8" s="4" t="s">
        <v>1</v>
      </c>
      <c r="C8" s="4" t="s">
        <v>2</v>
      </c>
      <c r="D8" s="4" t="s">
        <v>3</v>
      </c>
      <c r="E8" s="4" t="s">
        <v>122</v>
      </c>
      <c r="F8" s="4" t="s">
        <v>123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47.25">
      <c r="A9" s="6">
        <v>1</v>
      </c>
      <c r="B9" s="11" t="s">
        <v>42</v>
      </c>
      <c r="C9" s="23" t="s">
        <v>43</v>
      </c>
      <c r="D9" s="23" t="s">
        <v>44</v>
      </c>
      <c r="E9" s="24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47.25">
      <c r="A10" s="6">
        <v>2</v>
      </c>
      <c r="B10" s="25" t="s">
        <v>45</v>
      </c>
      <c r="C10" s="26" t="s">
        <v>46</v>
      </c>
      <c r="D10" s="26" t="s">
        <v>47</v>
      </c>
      <c r="E10" s="27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47.25">
      <c r="A11" s="6">
        <v>3</v>
      </c>
      <c r="B11" s="28" t="s">
        <v>48</v>
      </c>
      <c r="C11" s="29" t="s">
        <v>49</v>
      </c>
      <c r="D11" s="29" t="s">
        <v>50</v>
      </c>
      <c r="E11" s="24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31.5">
      <c r="A12" s="6">
        <v>4</v>
      </c>
      <c r="B12" s="25" t="s">
        <v>51</v>
      </c>
      <c r="C12" s="26" t="s">
        <v>52</v>
      </c>
      <c r="D12" s="26" t="s">
        <v>53</v>
      </c>
      <c r="E12" s="27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31.5">
      <c r="A13" s="6">
        <v>5</v>
      </c>
      <c r="B13" s="28" t="s">
        <v>54</v>
      </c>
      <c r="C13" s="29" t="s">
        <v>55</v>
      </c>
      <c r="D13" s="29" t="s">
        <v>56</v>
      </c>
      <c r="E13" s="24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47.25">
      <c r="A14" s="6">
        <v>6</v>
      </c>
      <c r="B14" s="25" t="s">
        <v>57</v>
      </c>
      <c r="C14" s="26" t="s">
        <v>58</v>
      </c>
      <c r="D14" s="26" t="s">
        <v>59</v>
      </c>
      <c r="E14" s="27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47.25">
      <c r="A15" s="6">
        <v>7</v>
      </c>
      <c r="B15" s="28" t="s">
        <v>60</v>
      </c>
      <c r="C15" s="29" t="s">
        <v>61</v>
      </c>
      <c r="D15" s="29" t="s">
        <v>62</v>
      </c>
      <c r="E15" s="24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31.5">
      <c r="A16" s="6">
        <v>8</v>
      </c>
      <c r="B16" s="25" t="s">
        <v>63</v>
      </c>
      <c r="C16" s="26" t="s">
        <v>64</v>
      </c>
      <c r="D16" s="26" t="s">
        <v>65</v>
      </c>
      <c r="E16" s="27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47.25">
      <c r="A17" s="6">
        <v>9</v>
      </c>
      <c r="B17" s="28" t="s">
        <v>66</v>
      </c>
      <c r="C17" s="29" t="s">
        <v>67</v>
      </c>
      <c r="D17" s="29" t="s">
        <v>68</v>
      </c>
      <c r="E17" s="24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47.25">
      <c r="A18" s="6">
        <v>10</v>
      </c>
      <c r="B18" s="25" t="s">
        <v>69</v>
      </c>
      <c r="C18" s="26" t="s">
        <v>70</v>
      </c>
      <c r="D18" s="26" t="s">
        <v>71</v>
      </c>
      <c r="E18" s="27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47.25">
      <c r="A19" s="6">
        <v>11</v>
      </c>
      <c r="B19" s="28" t="s">
        <v>72</v>
      </c>
      <c r="C19" s="29" t="s">
        <v>73</v>
      </c>
      <c r="D19" s="29" t="s">
        <v>74</v>
      </c>
      <c r="E19" s="24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63">
      <c r="A20" s="6">
        <v>12</v>
      </c>
      <c r="B20" s="25" t="s">
        <v>75</v>
      </c>
      <c r="C20" s="26" t="s">
        <v>76</v>
      </c>
      <c r="D20" s="26" t="s">
        <v>77</v>
      </c>
      <c r="E20" s="27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</sheetData>
  <mergeCells count="1">
    <mergeCell ref="A2:F2"/>
  </mergeCells>
  <dataValidations count="2">
    <dataValidation allowBlank="1" showDropDown="1" sqref="F9:F20" xr:uid="{BC189CDB-D42D-4450-8BD7-C75F833D7C34}"/>
    <dataValidation type="custom" allowBlank="1" showDropDown="1" sqref="A9:A20 E9:E20" xr:uid="{965954EE-94D2-4793-84F1-48108BE224CE}">
      <formula1>AND(ISNUMBER(A9),(NOT(OR(NOT(ISERROR(DATEVALUE(A9))), AND(ISNUMBER(A9), LEFT(CELL("format", A9))="D")))))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10BE-0F20-4A7D-A632-779FD961CD38}">
  <sheetPr>
    <outlinePr summaryBelow="0" summaryRight="0"/>
  </sheetPr>
  <dimension ref="A1:L20"/>
  <sheetViews>
    <sheetView tabSelected="1" workbookViewId="0">
      <selection activeCell="I12" sqref="I12"/>
    </sheetView>
  </sheetViews>
  <sheetFormatPr baseColWidth="10" defaultColWidth="12.5703125" defaultRowHeight="15.75" customHeight="1"/>
  <cols>
    <col min="1" max="1" width="8.7109375" customWidth="1"/>
    <col min="2" max="2" width="21.42578125" customWidth="1"/>
    <col min="3" max="3" width="25" customWidth="1"/>
    <col min="4" max="4" width="26.5703125" customWidth="1"/>
    <col min="5" max="5" width="21.42578125" customWidth="1"/>
    <col min="6" max="6" width="30.85546875" customWidth="1"/>
  </cols>
  <sheetData>
    <row r="1" spans="1:12" ht="12.75">
      <c r="A1" s="1"/>
      <c r="B1" s="2"/>
      <c r="C1" s="2"/>
      <c r="D1" s="2"/>
      <c r="E1" s="2"/>
      <c r="F1" s="3"/>
    </row>
    <row r="2" spans="1:12">
      <c r="A2" s="21" t="str">
        <f>[1]Accueil!B5</f>
        <v>ÉVALUATION DE L’ÉTAT DE FONCTIONNEMENT DES GAB/DAB</v>
      </c>
      <c r="B2" s="20"/>
      <c r="C2" s="20"/>
      <c r="D2" s="20"/>
      <c r="E2" s="20"/>
      <c r="F2" s="20"/>
    </row>
    <row r="3" spans="1:12" ht="12.75">
      <c r="A3" s="1"/>
      <c r="B3" s="2"/>
      <c r="C3" s="2"/>
      <c r="D3" s="2"/>
      <c r="E3" s="2"/>
      <c r="F3" s="3"/>
    </row>
    <row r="4" spans="1:12">
      <c r="A4" s="1"/>
      <c r="B4" s="2"/>
      <c r="C4" s="18"/>
      <c r="D4" s="18"/>
      <c r="E4" s="22"/>
      <c r="F4" s="3"/>
    </row>
    <row r="5" spans="1:12" ht="12.75">
      <c r="A5" s="1"/>
      <c r="B5" s="2"/>
      <c r="C5" s="2"/>
      <c r="D5" s="2"/>
      <c r="E5" s="2"/>
      <c r="F5" s="3"/>
    </row>
    <row r="6" spans="1:12" ht="12.75">
      <c r="A6" s="1"/>
      <c r="B6" s="2"/>
      <c r="C6" s="2"/>
      <c r="D6" s="2"/>
      <c r="E6" s="2"/>
      <c r="F6" s="3"/>
    </row>
    <row r="7" spans="1:12" ht="31.5" customHeight="1">
      <c r="A7" s="1"/>
      <c r="B7" s="2"/>
      <c r="C7" s="2"/>
      <c r="D7" s="2"/>
      <c r="E7" s="2"/>
      <c r="F7" s="3"/>
    </row>
    <row r="8" spans="1:12" ht="55.5" customHeight="1">
      <c r="A8" s="4" t="s">
        <v>0</v>
      </c>
      <c r="B8" s="4" t="s">
        <v>1</v>
      </c>
      <c r="C8" s="4" t="s">
        <v>2</v>
      </c>
      <c r="D8" s="4" t="s">
        <v>3</v>
      </c>
      <c r="E8" s="4" t="s">
        <v>122</v>
      </c>
      <c r="F8" s="4" t="s">
        <v>123</v>
      </c>
      <c r="G8" s="5"/>
      <c r="H8" s="5"/>
      <c r="I8" s="5"/>
      <c r="J8" s="5"/>
      <c r="K8" s="5"/>
      <c r="L8" s="5"/>
    </row>
    <row r="9" spans="1:12" ht="47.25">
      <c r="A9" s="6">
        <v>1</v>
      </c>
      <c r="B9" s="11" t="s">
        <v>78</v>
      </c>
      <c r="C9" s="23" t="s">
        <v>79</v>
      </c>
      <c r="D9" s="23" t="s">
        <v>80</v>
      </c>
      <c r="E9" s="24"/>
      <c r="F9" s="8"/>
      <c r="G9" s="9"/>
      <c r="H9" s="9"/>
      <c r="I9" s="9"/>
      <c r="J9" s="9"/>
      <c r="K9" s="9"/>
      <c r="L9" s="9"/>
    </row>
    <row r="10" spans="1:12" ht="47.25">
      <c r="A10" s="6">
        <v>2</v>
      </c>
      <c r="B10" s="25" t="s">
        <v>81</v>
      </c>
      <c r="C10" s="26" t="s">
        <v>82</v>
      </c>
      <c r="D10" s="26" t="s">
        <v>83</v>
      </c>
      <c r="E10" s="27"/>
      <c r="F10" s="8"/>
      <c r="G10" s="9"/>
      <c r="H10" s="9"/>
      <c r="I10" s="9"/>
      <c r="J10" s="9"/>
      <c r="K10" s="9"/>
      <c r="L10" s="9"/>
    </row>
    <row r="11" spans="1:12" ht="47.25">
      <c r="A11" s="6">
        <v>3</v>
      </c>
      <c r="B11" s="28" t="s">
        <v>84</v>
      </c>
      <c r="C11" s="29" t="s">
        <v>85</v>
      </c>
      <c r="D11" s="29" t="s">
        <v>86</v>
      </c>
      <c r="E11" s="24"/>
      <c r="F11" s="8"/>
      <c r="G11" s="9"/>
      <c r="H11" s="9"/>
      <c r="I11" s="9"/>
      <c r="J11" s="9"/>
      <c r="K11" s="9"/>
      <c r="L11" s="9"/>
    </row>
    <row r="12" spans="1:12" ht="63">
      <c r="A12" s="6">
        <v>4</v>
      </c>
      <c r="B12" s="25" t="s">
        <v>87</v>
      </c>
      <c r="C12" s="26" t="s">
        <v>88</v>
      </c>
      <c r="D12" s="26" t="s">
        <v>89</v>
      </c>
      <c r="E12" s="27"/>
      <c r="F12" s="8"/>
      <c r="G12" s="9"/>
      <c r="H12" s="9"/>
      <c r="I12" s="9"/>
      <c r="J12" s="9"/>
      <c r="K12" s="9"/>
      <c r="L12" s="9"/>
    </row>
    <row r="13" spans="1:12" ht="63">
      <c r="A13" s="6">
        <v>5</v>
      </c>
      <c r="B13" s="28" t="s">
        <v>90</v>
      </c>
      <c r="C13" s="29" t="s">
        <v>91</v>
      </c>
      <c r="D13" s="29" t="s">
        <v>92</v>
      </c>
      <c r="E13" s="24"/>
      <c r="F13" s="8"/>
      <c r="G13" s="9"/>
      <c r="H13" s="9"/>
      <c r="I13" s="9"/>
      <c r="J13" s="9"/>
      <c r="K13" s="9"/>
      <c r="L13" s="9"/>
    </row>
    <row r="14" spans="1:12" ht="63">
      <c r="A14" s="6">
        <v>6</v>
      </c>
      <c r="B14" s="25" t="s">
        <v>93</v>
      </c>
      <c r="C14" s="26" t="s">
        <v>94</v>
      </c>
      <c r="D14" s="26" t="s">
        <v>95</v>
      </c>
      <c r="E14" s="27"/>
      <c r="F14" s="8"/>
      <c r="G14" s="9"/>
      <c r="H14" s="9"/>
      <c r="I14" s="9"/>
      <c r="J14" s="9"/>
      <c r="K14" s="9"/>
      <c r="L14" s="9"/>
    </row>
    <row r="15" spans="1:12" ht="47.25">
      <c r="A15" s="6">
        <v>7</v>
      </c>
      <c r="B15" s="28" t="s">
        <v>96</v>
      </c>
      <c r="C15" s="29" t="s">
        <v>97</v>
      </c>
      <c r="D15" s="29" t="s">
        <v>98</v>
      </c>
      <c r="E15" s="24"/>
      <c r="F15" s="8"/>
      <c r="G15" s="9"/>
      <c r="H15" s="9"/>
      <c r="I15" s="9"/>
      <c r="J15" s="9"/>
      <c r="K15" s="9"/>
      <c r="L15" s="9"/>
    </row>
    <row r="16" spans="1:12" ht="31.5">
      <c r="A16" s="6">
        <v>8</v>
      </c>
      <c r="B16" s="25" t="s">
        <v>99</v>
      </c>
      <c r="C16" s="26" t="s">
        <v>100</v>
      </c>
      <c r="D16" s="26" t="s">
        <v>101</v>
      </c>
      <c r="E16" s="27"/>
      <c r="F16" s="8"/>
      <c r="G16" s="9"/>
      <c r="H16" s="9"/>
      <c r="I16" s="9"/>
      <c r="J16" s="9"/>
      <c r="K16" s="9"/>
      <c r="L16" s="9"/>
    </row>
    <row r="17" spans="1:12" ht="47.25">
      <c r="A17" s="6">
        <v>9</v>
      </c>
      <c r="B17" s="28" t="s">
        <v>102</v>
      </c>
      <c r="C17" s="29" t="s">
        <v>103</v>
      </c>
      <c r="D17" s="29" t="s">
        <v>104</v>
      </c>
      <c r="E17" s="24"/>
      <c r="F17" s="8"/>
      <c r="G17" s="9"/>
      <c r="H17" s="9"/>
      <c r="I17" s="9"/>
      <c r="J17" s="9"/>
      <c r="K17" s="9"/>
      <c r="L17" s="9"/>
    </row>
    <row r="18" spans="1:12" ht="63">
      <c r="A18" s="6">
        <v>10</v>
      </c>
      <c r="B18" s="25" t="s">
        <v>105</v>
      </c>
      <c r="C18" s="26" t="s">
        <v>106</v>
      </c>
      <c r="D18" s="26" t="s">
        <v>107</v>
      </c>
      <c r="E18" s="27"/>
      <c r="F18" s="8"/>
      <c r="G18" s="9"/>
      <c r="H18" s="9"/>
      <c r="I18" s="9"/>
      <c r="J18" s="9"/>
      <c r="K18" s="9"/>
      <c r="L18" s="9"/>
    </row>
    <row r="19" spans="1:12" ht="47.25">
      <c r="A19" s="6">
        <v>11</v>
      </c>
      <c r="B19" s="28" t="s">
        <v>108</v>
      </c>
      <c r="C19" s="29" t="s">
        <v>109</v>
      </c>
      <c r="D19" s="29" t="s">
        <v>110</v>
      </c>
      <c r="E19" s="24"/>
      <c r="F19" s="8"/>
      <c r="G19" s="9"/>
      <c r="H19" s="9"/>
      <c r="I19" s="9"/>
      <c r="J19" s="9"/>
      <c r="K19" s="9"/>
      <c r="L19" s="9"/>
    </row>
    <row r="20" spans="1:12" ht="47.25">
      <c r="A20" s="6">
        <v>12</v>
      </c>
      <c r="B20" s="25" t="s">
        <v>111</v>
      </c>
      <c r="C20" s="26" t="s">
        <v>112</v>
      </c>
      <c r="D20" s="26" t="s">
        <v>113</v>
      </c>
      <c r="E20" s="27"/>
      <c r="F20" s="8"/>
      <c r="G20" s="9"/>
      <c r="H20" s="9"/>
      <c r="I20" s="9"/>
      <c r="J20" s="9"/>
      <c r="K20" s="9"/>
      <c r="L20" s="9"/>
    </row>
  </sheetData>
  <mergeCells count="1">
    <mergeCell ref="A2:F2"/>
  </mergeCells>
  <dataValidations count="2">
    <dataValidation allowBlank="1" showDropDown="1" sqref="F9:F20" xr:uid="{E2FED445-5311-485B-A92E-24040912AABA}"/>
    <dataValidation type="custom" allowBlank="1" showDropDown="1" sqref="A9:A20 E9:E20" xr:uid="{27D16C20-6617-4C9B-9735-FE727B0EDF4C}">
      <formula1>AND(ISNUMBER(A9),(NOT(OR(NOT(ISERROR(DATEVALUE(A9))), AND(ISNUMBER(A9), LEFT(CELL("format", A9))="D")))))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</vt:lpstr>
      <vt:lpstr>F_QS</vt:lpstr>
      <vt:lpstr>F_GAB</vt:lpstr>
      <vt:lpstr>BAREME</vt:lpstr>
      <vt:lpstr>Moy_FI_</vt:lpstr>
      <vt:lpstr>Moy_QS_</vt:lpstr>
      <vt:lpstr>Moy_GAB_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DGSF MEF</cp:lastModifiedBy>
  <dcterms:modified xsi:type="dcterms:W3CDTF">2025-11-18T09:08:33Z</dcterms:modified>
</cp:coreProperties>
</file>